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Google Drive\American Dream\Courses\Fall15\PETR 6328 Petroleum Fluid Properties\HW\HW3\"/>
    </mc:Choice>
  </mc:AlternateContent>
  <bookViews>
    <workbookView xWindow="240" yWindow="105" windowWidth="14805" windowHeight="8010" tabRatio="534"/>
  </bookViews>
  <sheets>
    <sheet name="Sheet1" sheetId="1" r:id="rId1"/>
    <sheet name="Sheet2" sheetId="2" r:id="rId2"/>
  </sheets>
  <functionGroups builtInGroupCount="18"/>
  <calcPr calcId="152511" fullPrecision="0"/>
</workbook>
</file>

<file path=xl/calcChain.xml><?xml version="1.0" encoding="utf-8"?>
<calcChain xmlns="http://schemas.openxmlformats.org/spreadsheetml/2006/main">
  <c r="D20" i="1" l="1"/>
  <c r="L5" i="1" l="1"/>
  <c r="L4" i="1"/>
  <c r="L3" i="1"/>
  <c r="L2" i="1"/>
  <c r="O19" i="1" l="1"/>
  <c r="O5" i="1"/>
  <c r="O4" i="1"/>
  <c r="O3" i="1"/>
  <c r="O2" i="1"/>
  <c r="K30" i="1" l="1"/>
  <c r="L30" i="1" s="1"/>
  <c r="K25" i="1" l="1"/>
  <c r="L25" i="1" s="1"/>
  <c r="Q2" i="1" l="1"/>
  <c r="Q3" i="1"/>
  <c r="Q4" i="1"/>
  <c r="Q5" i="1"/>
  <c r="D3" i="1"/>
  <c r="D4" i="1"/>
  <c r="D5" i="1"/>
  <c r="D2" i="1"/>
  <c r="O18" i="1" s="1"/>
  <c r="J3" i="1" l="1"/>
  <c r="J4" i="1"/>
  <c r="J5" i="1"/>
  <c r="J2" i="1"/>
  <c r="G5" i="1"/>
  <c r="G4" i="1"/>
  <c r="G3" i="1"/>
  <c r="H3" i="1" s="1"/>
  <c r="G2" i="1"/>
  <c r="H2" i="1" s="1"/>
  <c r="M2" i="1" l="1"/>
  <c r="R2" i="1"/>
  <c r="R3" i="1"/>
  <c r="N5" i="1"/>
  <c r="P5" i="1"/>
  <c r="P4" i="1"/>
  <c r="N4" i="1"/>
  <c r="H5" i="1"/>
  <c r="N2" i="1"/>
  <c r="P2" i="1"/>
  <c r="N3" i="1"/>
  <c r="P3" i="1"/>
  <c r="H4" i="1"/>
  <c r="M5" i="1"/>
  <c r="M4" i="1"/>
  <c r="M3" i="1"/>
  <c r="I19" i="1" l="1"/>
  <c r="K19" i="1" s="1"/>
  <c r="I18" i="1"/>
  <c r="K18" i="1" s="1"/>
  <c r="I29" i="1" s="1"/>
  <c r="R5" i="1"/>
  <c r="S5" i="1" s="1"/>
  <c r="R4" i="1"/>
  <c r="S4" i="1" s="1"/>
  <c r="I12" i="1" s="1"/>
  <c r="S3" i="1"/>
  <c r="J11" i="1" s="1"/>
  <c r="S2" i="1"/>
  <c r="N24" i="1" l="1"/>
  <c r="N23" i="1"/>
  <c r="I24" i="1"/>
  <c r="J24" i="1"/>
  <c r="O23" i="1"/>
  <c r="O24" i="1"/>
  <c r="O25" i="1"/>
  <c r="O26" i="1"/>
  <c r="N25" i="1"/>
  <c r="N26" i="1"/>
  <c r="K11" i="1"/>
  <c r="L11" i="1"/>
  <c r="L10" i="1"/>
  <c r="I10" i="1"/>
  <c r="L12" i="1"/>
  <c r="J10" i="1"/>
  <c r="J13" i="1"/>
  <c r="I13" i="1"/>
  <c r="L13" i="1"/>
  <c r="K12" i="1"/>
  <c r="K10" i="1"/>
  <c r="J12" i="1"/>
  <c r="K13" i="1"/>
  <c r="I11" i="1"/>
  <c r="H24" i="1"/>
  <c r="H29" i="1"/>
  <c r="J29" i="1"/>
</calcChain>
</file>

<file path=xl/sharedStrings.xml><?xml version="1.0" encoding="utf-8"?>
<sst xmlns="http://schemas.openxmlformats.org/spreadsheetml/2006/main" count="86" uniqueCount="76">
  <si>
    <t>CO2</t>
  </si>
  <si>
    <t>CH4</t>
  </si>
  <si>
    <t>n-C4</t>
  </si>
  <si>
    <r>
      <t>Mole Fractions (z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</si>
  <si>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T</t>
    </r>
    <r>
      <rPr>
        <vertAlign val="subscript"/>
        <sz val="11"/>
        <color theme="1"/>
        <rFont val="Calibri"/>
        <family val="2"/>
        <scheme val="minor"/>
      </rPr>
      <t>ri</t>
    </r>
  </si>
  <si>
    <r>
      <t>P</t>
    </r>
    <r>
      <rPr>
        <vertAlign val="subscript"/>
        <sz val="11"/>
        <color theme="1"/>
        <rFont val="Calibri"/>
        <family val="2"/>
        <scheme val="minor"/>
      </rPr>
      <t>ri</t>
    </r>
  </si>
  <si>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Calibri"/>
        <family val="2"/>
      </rPr>
      <t>i</t>
    </r>
  </si>
  <si>
    <t>F(L)</t>
  </si>
  <si>
    <t>F'(L)</t>
  </si>
  <si>
    <t>L_New</t>
  </si>
  <si>
    <t>BIP</t>
  </si>
  <si>
    <t>Peng Robinson</t>
  </si>
  <si>
    <t>Kij</t>
  </si>
  <si>
    <r>
      <t>CO</t>
    </r>
    <r>
      <rPr>
        <sz val="8"/>
        <color theme="1"/>
        <rFont val="Calibri"/>
        <family val="2"/>
        <scheme val="minor"/>
      </rPr>
      <t>2</t>
    </r>
  </si>
  <si>
    <r>
      <t>CH</t>
    </r>
    <r>
      <rPr>
        <sz val="9"/>
        <color theme="1"/>
        <rFont val="Calibri"/>
        <family val="2"/>
        <scheme val="minor"/>
      </rPr>
      <t>4</t>
    </r>
  </si>
  <si>
    <r>
      <t>n-C</t>
    </r>
    <r>
      <rPr>
        <sz val="8"/>
        <color theme="1"/>
        <rFont val="Calibri"/>
        <family val="2"/>
        <scheme val="minor"/>
      </rPr>
      <t>4</t>
    </r>
  </si>
  <si>
    <r>
      <t>n-C</t>
    </r>
    <r>
      <rPr>
        <sz val="8"/>
        <color theme="1"/>
        <rFont val="Calibri"/>
        <family val="2"/>
        <scheme val="minor"/>
      </rPr>
      <t>10</t>
    </r>
  </si>
  <si>
    <t>Pressure psi</t>
  </si>
  <si>
    <t>Components</t>
  </si>
  <si>
    <r>
      <t xml:space="preserve">(a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 xml:space="preserve"> )ij</t>
    </r>
  </si>
  <si>
    <t>j = 1</t>
  </si>
  <si>
    <t>j = 2</t>
  </si>
  <si>
    <t>j = 3</t>
  </si>
  <si>
    <t>j = 4</t>
  </si>
  <si>
    <t>i = 1</t>
  </si>
  <si>
    <t>i = 2</t>
  </si>
  <si>
    <t>i = 3</t>
  </si>
  <si>
    <t>i = 4</t>
  </si>
  <si>
    <t>where</t>
  </si>
  <si>
    <r>
      <t>1 = CH</t>
    </r>
    <r>
      <rPr>
        <vertAlign val="subscript"/>
        <sz val="11"/>
        <color theme="1"/>
        <rFont val="Calibri"/>
        <family val="2"/>
        <scheme val="minor"/>
      </rPr>
      <t>4</t>
    </r>
  </si>
  <si>
    <r>
      <t>2 = 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</si>
  <si>
    <r>
      <t>3 = n-C</t>
    </r>
    <r>
      <rPr>
        <vertAlign val="subscript"/>
        <sz val="11"/>
        <color theme="1"/>
        <rFont val="Calibri"/>
        <family val="2"/>
        <scheme val="minor"/>
      </rPr>
      <t>10</t>
    </r>
  </si>
  <si>
    <r>
      <t>4 = n-C</t>
    </r>
    <r>
      <rPr>
        <vertAlign val="subscript"/>
        <sz val="11"/>
        <color theme="1"/>
        <rFont val="Calibri"/>
        <family val="2"/>
        <scheme val="minor"/>
      </rPr>
      <t>20</t>
    </r>
  </si>
  <si>
    <t>R</t>
  </si>
  <si>
    <t>xi</t>
  </si>
  <si>
    <t>yi</t>
  </si>
  <si>
    <t>bi</t>
  </si>
  <si>
    <t>Tc deg F</t>
  </si>
  <si>
    <t>Tc deg R</t>
  </si>
  <si>
    <t>Pc</t>
  </si>
  <si>
    <t>ai</t>
  </si>
  <si>
    <t>mi</t>
  </si>
  <si>
    <t>α</t>
  </si>
  <si>
    <r>
      <t>a</t>
    </r>
    <r>
      <rPr>
        <sz val="11"/>
        <color theme="1"/>
        <rFont val="Calibri"/>
        <family val="2"/>
      </rPr>
      <t>α</t>
    </r>
    <r>
      <rPr>
        <sz val="7.7"/>
        <color theme="1"/>
        <rFont val="Calibri"/>
        <family val="2"/>
      </rPr>
      <t>i</t>
    </r>
  </si>
  <si>
    <r>
      <t>b</t>
    </r>
    <r>
      <rPr>
        <vertAlign val="subscript"/>
        <sz val="11"/>
        <color theme="1"/>
        <rFont val="Calibri"/>
        <family val="2"/>
        <scheme val="minor"/>
      </rPr>
      <t xml:space="preserve">V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</si>
  <si>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 =</t>
    </r>
  </si>
  <si>
    <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 xml:space="preserve">V </t>
    </r>
    <r>
      <rPr>
        <sz val="11"/>
        <color theme="1"/>
        <rFont val="Calibri"/>
        <family val="2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</si>
  <si>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V </t>
    </r>
    <r>
      <rPr>
        <sz val="11"/>
        <color theme="1"/>
        <rFont val="Calibri"/>
        <family val="2"/>
        <scheme val="minor"/>
      </rPr>
      <t>=</t>
    </r>
  </si>
  <si>
    <r>
      <t>b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=</t>
    </r>
  </si>
  <si>
    <r>
      <t>B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=</t>
    </r>
  </si>
  <si>
    <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 xml:space="preserve">L </t>
    </r>
    <r>
      <rPr>
        <sz val="11"/>
        <color theme="1"/>
        <rFont val="Calibri"/>
        <family val="2"/>
      </rPr>
      <t>=</t>
    </r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</si>
  <si>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L </t>
    </r>
    <r>
      <rPr>
        <sz val="11"/>
        <color theme="1"/>
        <rFont val="Calibri"/>
        <family val="2"/>
        <scheme val="minor"/>
      </rPr>
      <t>=</t>
    </r>
  </si>
  <si>
    <t>t deg R</t>
  </si>
  <si>
    <t>Bi</t>
  </si>
  <si>
    <t>Coefficients of of cubic equation in Z for  Liquid</t>
  </si>
  <si>
    <r>
      <t>Coefficient of Z</t>
    </r>
    <r>
      <rPr>
        <vertAlign val="superscript"/>
        <sz val="11"/>
        <color theme="1"/>
        <rFont val="Calibri"/>
        <family val="2"/>
        <scheme val="minor"/>
      </rPr>
      <t>2</t>
    </r>
  </si>
  <si>
    <t>Coefficient of Z1</t>
  </si>
  <si>
    <t>Constant term</t>
  </si>
  <si>
    <t>Root of Z Liquid</t>
  </si>
  <si>
    <t>Coefficients of of cubic equation in Z for  Vapor</t>
  </si>
  <si>
    <t>Root of Z Vapor</t>
  </si>
  <si>
    <t xml:space="preserve">Ki initials </t>
  </si>
  <si>
    <t>Component</t>
  </si>
  <si>
    <t>Fugacity Liquid</t>
  </si>
  <si>
    <t>Fugacity Vapor</t>
  </si>
  <si>
    <t>C02</t>
  </si>
  <si>
    <t>n-C10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</si>
  <si>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ij</t>
    </r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</si>
  <si>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(a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ij</t>
    </r>
  </si>
  <si>
    <t>Knext</t>
  </si>
  <si>
    <r>
      <t xml:space="preserve">V </t>
    </r>
    <r>
      <rPr>
        <b/>
        <vertAlign val="subscript"/>
        <sz val="12"/>
        <color theme="1"/>
        <rFont val="Calibri"/>
        <family val="2"/>
        <scheme val="minor"/>
      </rPr>
      <t>Lquid</t>
    </r>
  </si>
  <si>
    <r>
      <t>V</t>
    </r>
    <r>
      <rPr>
        <b/>
        <vertAlign val="subscript"/>
        <sz val="12"/>
        <color theme="1"/>
        <rFont val="Calibri"/>
        <family val="2"/>
        <scheme val="minor"/>
      </rPr>
      <t>Vapor</t>
    </r>
  </si>
  <si>
    <r>
      <t>K</t>
    </r>
    <r>
      <rPr>
        <b/>
        <vertAlign val="subscript"/>
        <sz val="12"/>
        <rFont val="Calibri"/>
        <family val="2"/>
        <scheme val="minor"/>
      </rPr>
      <t xml:space="preserve">i </t>
    </r>
  </si>
  <si>
    <t>Enter liquid volume fraction  in the blue highlighted cell and Click button to run the flash algorithm</t>
  </si>
  <si>
    <t>V</t>
  </si>
  <si>
    <t xml:space="preserve">For code:  1.  Press Alt + F11    2. Expand Modules    3. Then Double Click Module 1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</si>
</sst>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"/>
  </numFmts>
  <fonts count="19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8"/>
      <color theme="1"/>
      <name val="Calibri"/>
      <family val="2"/>
      <scheme val="minor"/>
    </font>
    <font>
      <sz val="7.7"/>
      <color theme="1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8"/>
      <color rgb="FFFF0000"/>
      <name val="Calibri"/>
      <family val="2"/>
    </font>
    <font>
      <sz val="12"/>
      <color rgb="FF000000"/>
      <name val="Segoe UI"/>
      <family val="2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2" borderId="1" xfId="0" applyFill="1" applyBorder="1"/>
    <xf numFmtId="0" fontId="0" fillId="0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/>
    <xf numFmtId="11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/>
    </xf>
    <xf numFmtId="0" fontId="0" fillId="0" borderId="0" xfId="0" quotePrefix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2" fillId="0" borderId="0" xfId="0" applyFont="1"/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16" fillId="3" borderId="14" xfId="0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horizontal="center" vertical="center" wrapText="1"/>
      <protection locked="0"/>
    </xf>
    <xf numFmtId="0" fontId="16" fillId="5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</xf>
    <xf numFmtId="0" fontId="16" fillId="6" borderId="1" xfId="0" applyFont="1" applyFill="1" applyBorder="1" applyProtection="1"/>
    <xf numFmtId="0" fontId="13" fillId="0" borderId="1" xfId="0" applyFont="1" applyBorder="1" applyAlignment="1" applyProtection="1">
      <alignment horizontal="center" vertical="center" wrapText="1"/>
      <protection locked="0"/>
    </xf>
    <xf numFmtId="164" fontId="0" fillId="0" borderId="18" xfId="0" applyNumberFormat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164" fontId="2" fillId="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 wrapText="1"/>
      <protection locked="0"/>
    </xf>
    <xf numFmtId="164" fontId="0" fillId="0" borderId="10" xfId="0" applyNumberFormat="1" applyBorder="1" applyAlignment="1" applyProtection="1">
      <alignment horizontal="center" vertical="center" wrapText="1"/>
      <protection locked="0"/>
    </xf>
    <xf numFmtId="164" fontId="13" fillId="0" borderId="13" xfId="0" applyNumberFormat="1" applyFont="1" applyBorder="1" applyAlignment="1" applyProtection="1">
      <alignment horizontal="center" vertical="center"/>
      <protection locked="0"/>
    </xf>
    <xf numFmtId="164" fontId="13" fillId="0" borderId="17" xfId="0" applyNumberFormat="1" applyFont="1" applyBorder="1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 wrapText="1"/>
      <protection locked="0"/>
    </xf>
    <xf numFmtId="164" fontId="13" fillId="0" borderId="8" xfId="0" applyNumberFormat="1" applyFont="1" applyBorder="1" applyAlignment="1" applyProtection="1">
      <alignment horizontal="center" vertical="center" wrapText="1"/>
      <protection locked="0"/>
    </xf>
    <xf numFmtId="164" fontId="0" fillId="0" borderId="0" xfId="0" applyNumberFormat="1" applyBorder="1" applyAlignment="1" applyProtection="1">
      <alignment horizontal="center" vertical="center" wrapText="1"/>
      <protection locked="0"/>
    </xf>
    <xf numFmtId="164" fontId="0" fillId="0" borderId="19" xfId="0" applyNumberFormat="1" applyBorder="1" applyAlignment="1" applyProtection="1">
      <alignment horizontal="center" vertical="center" wrapText="1"/>
      <protection locked="0"/>
    </xf>
    <xf numFmtId="164" fontId="0" fillId="0" borderId="9" xfId="0" applyNumberFormat="1" applyBorder="1" applyAlignment="1" applyProtection="1">
      <alignment horizontal="center" vertical="center" wrapText="1"/>
      <protection locked="0"/>
    </xf>
    <xf numFmtId="164" fontId="0" fillId="0" borderId="11" xfId="0" applyNumberFormat="1" applyBorder="1" applyAlignment="1" applyProtection="1">
      <alignment horizontal="center" vertical="center" wrapText="1"/>
      <protection locked="0"/>
    </xf>
    <xf numFmtId="164" fontId="16" fillId="6" borderId="15" xfId="0" applyNumberFormat="1" applyFont="1" applyFill="1" applyBorder="1" applyAlignment="1" applyProtection="1">
      <alignment horizontal="center" vertical="center" wrapText="1"/>
      <protection locked="0"/>
    </xf>
    <xf numFmtId="164" fontId="16" fillId="6" borderId="9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9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16" fillId="6" borderId="11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2" xfId="0" applyNumberFormat="1" applyBorder="1" applyAlignment="1" applyProtection="1">
      <alignment horizontal="center" vertical="center" wrapText="1"/>
      <protection locked="0"/>
    </xf>
    <xf numFmtId="164" fontId="16" fillId="6" borderId="2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 applyProtection="1">
      <alignment horizontal="center" vertical="center" wrapText="1"/>
      <protection locked="0"/>
    </xf>
    <xf numFmtId="164" fontId="16" fillId="6" borderId="12" xfId="0" applyNumberFormat="1" applyFont="1" applyFill="1" applyBorder="1" applyAlignment="1" applyProtection="1">
      <alignment horizontal="center" vertical="center" wrapText="1"/>
      <protection locked="0"/>
    </xf>
    <xf numFmtId="164" fontId="13" fillId="0" borderId="15" xfId="0" applyNumberFormat="1" applyFont="1" applyBorder="1" applyAlignment="1" applyProtection="1">
      <alignment horizontal="center" vertical="center"/>
      <protection locked="0"/>
    </xf>
    <xf numFmtId="164" fontId="0" fillId="0" borderId="20" xfId="0" applyNumberFormat="1" applyBorder="1" applyAlignment="1" applyProtection="1">
      <alignment horizontal="center" vertical="center" wrapText="1"/>
      <protection locked="0"/>
    </xf>
    <xf numFmtId="164" fontId="0" fillId="0" borderId="15" xfId="0" applyNumberFormat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3" fillId="7" borderId="1" xfId="0" applyFont="1" applyFill="1" applyBorder="1" applyAlignment="1" applyProtection="1">
      <alignment horizontal="center" vertical="center" wrapText="1"/>
      <protection locked="0"/>
    </xf>
    <xf numFmtId="164" fontId="0" fillId="0" borderId="17" xfId="0" applyNumberFormat="1" applyBorder="1" applyAlignment="1" applyProtection="1">
      <alignment horizontal="center" vertical="center"/>
      <protection locked="0"/>
    </xf>
    <xf numFmtId="164" fontId="0" fillId="0" borderId="13" xfId="0" applyNumberFormat="1" applyBorder="1" applyAlignment="1" applyProtection="1">
      <alignment horizontal="center" vertical="center"/>
      <protection locked="0"/>
    </xf>
    <xf numFmtId="164" fontId="0" fillId="0" borderId="16" xfId="0" applyNumberFormat="1" applyBorder="1" applyAlignment="1" applyProtection="1">
      <alignment horizontal="center" vertical="center"/>
      <protection locked="0"/>
    </xf>
    <xf numFmtId="0" fontId="15" fillId="4" borderId="6" xfId="0" applyFont="1" applyFill="1" applyBorder="1" applyAlignment="1" applyProtection="1">
      <alignment horizontal="center" vertical="center" wrapText="1"/>
      <protection locked="0"/>
    </xf>
    <xf numFmtId="0" fontId="15" fillId="4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 vertical="top" wrapText="1"/>
    </xf>
    <xf numFmtId="0" fontId="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24</xdr:row>
          <xdr:rowOff>133350</xdr:rowOff>
        </xdr:from>
        <xdr:to>
          <xdr:col>2</xdr:col>
          <xdr:colOff>38100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6"/>
  <sheetViews>
    <sheetView tabSelected="1" view="pageBreakPreview" zoomScale="70" zoomScaleNormal="60" zoomScaleSheetLayoutView="70" workbookViewId="0">
      <selection activeCell="AI12" sqref="AI12"/>
    </sheetView>
  </sheetViews>
  <sheetFormatPr defaultRowHeight="15" x14ac:dyDescent="0.25"/>
  <cols>
    <col min="1" max="1" width="15" style="19" customWidth="1"/>
    <col min="2" max="2" width="18.28515625" style="19" bestFit="1" customWidth="1"/>
    <col min="3" max="3" width="11.5703125" style="19" bestFit="1" customWidth="1"/>
    <col min="4" max="4" width="14" style="19" customWidth="1"/>
    <col min="5" max="5" width="14.85546875" style="19" customWidth="1"/>
    <col min="6" max="6" width="9.5703125" style="19" bestFit="1" customWidth="1"/>
    <col min="7" max="7" width="9.7109375" style="19" bestFit="1" customWidth="1"/>
    <col min="8" max="8" width="17.85546875" style="19" customWidth="1"/>
    <col min="9" max="9" width="16.140625" style="19" customWidth="1"/>
    <col min="10" max="10" width="15" style="19" customWidth="1"/>
    <col min="11" max="11" width="15.5703125" style="19" customWidth="1"/>
    <col min="12" max="12" width="14.140625" style="19" bestFit="1" customWidth="1"/>
    <col min="13" max="13" width="17.85546875" style="19" bestFit="1" customWidth="1"/>
    <col min="14" max="14" width="15.42578125" style="19" customWidth="1"/>
    <col min="15" max="15" width="18.28515625" style="19" customWidth="1"/>
    <col min="16" max="16" width="12.42578125" style="19" customWidth="1"/>
    <col min="17" max="17" width="13.42578125" style="19" bestFit="1" customWidth="1"/>
    <col min="18" max="19" width="14.42578125" style="19" bestFit="1" customWidth="1"/>
    <col min="20" max="20" width="14" style="19" bestFit="1" customWidth="1"/>
    <col min="21" max="21" width="13" style="19" bestFit="1" customWidth="1"/>
    <col min="22" max="16384" width="9.140625" style="19"/>
  </cols>
  <sheetData>
    <row r="1" spans="1:21" ht="18.75" x14ac:dyDescent="0.25">
      <c r="A1" s="20" t="s">
        <v>18</v>
      </c>
      <c r="B1" s="20" t="s">
        <v>3</v>
      </c>
      <c r="C1" s="41" t="s">
        <v>72</v>
      </c>
      <c r="D1" s="20" t="s">
        <v>52</v>
      </c>
      <c r="E1" s="20" t="s">
        <v>17</v>
      </c>
      <c r="F1" s="20" t="s">
        <v>37</v>
      </c>
      <c r="G1" s="20" t="s">
        <v>38</v>
      </c>
      <c r="H1" s="20" t="s">
        <v>4</v>
      </c>
      <c r="I1" s="20" t="s">
        <v>39</v>
      </c>
      <c r="J1" s="20" t="s">
        <v>5</v>
      </c>
      <c r="K1" s="20" t="s">
        <v>6</v>
      </c>
      <c r="L1" s="38" t="s">
        <v>34</v>
      </c>
      <c r="M1" s="38" t="s">
        <v>35</v>
      </c>
      <c r="N1" s="20" t="s">
        <v>36</v>
      </c>
      <c r="O1" s="20" t="s">
        <v>53</v>
      </c>
      <c r="P1" s="20" t="s">
        <v>40</v>
      </c>
      <c r="Q1" s="20" t="s">
        <v>41</v>
      </c>
      <c r="R1" s="21" t="s">
        <v>42</v>
      </c>
      <c r="S1" s="20" t="s">
        <v>43</v>
      </c>
      <c r="T1" s="4" t="s">
        <v>67</v>
      </c>
      <c r="U1" s="4" t="s">
        <v>68</v>
      </c>
    </row>
    <row r="2" spans="1:21" x14ac:dyDescent="0.25">
      <c r="A2" s="20" t="s">
        <v>0</v>
      </c>
      <c r="B2" s="20">
        <v>0.65</v>
      </c>
      <c r="C2" s="42">
        <v>1.34868769108874</v>
      </c>
      <c r="D2" s="18">
        <f>180+459.67</f>
        <v>639.66999999999996</v>
      </c>
      <c r="E2" s="20">
        <v>2000</v>
      </c>
      <c r="F2" s="20">
        <v>87.89</v>
      </c>
      <c r="G2" s="18">
        <f>F2+459.67</f>
        <v>547.55999999999995</v>
      </c>
      <c r="H2" s="18">
        <f>(D2)/G2</f>
        <v>1.1682190079626</v>
      </c>
      <c r="I2" s="20">
        <v>1069.8699999999999</v>
      </c>
      <c r="J2" s="18">
        <f>E2/I2</f>
        <v>1.8693860001682401</v>
      </c>
      <c r="K2" s="20">
        <v>0.22500000000000001</v>
      </c>
      <c r="L2" s="43">
        <f>B2/(C2 +(1-C2)*C20)</f>
        <v>0.52926334488843996</v>
      </c>
      <c r="M2" s="44">
        <f>C2*L2</f>
        <v>0.71381095859549404</v>
      </c>
      <c r="N2" s="18">
        <f>(0.0778*C17*G2)/I2</f>
        <v>0.427247985867442</v>
      </c>
      <c r="O2" s="18">
        <f>(N2*E2)/(C17*D2)</f>
        <v>0.12449568943989101</v>
      </c>
      <c r="P2" s="18">
        <f>0.45724*(C17^2)*(G2^2)/I2</f>
        <v>14752.855203704101</v>
      </c>
      <c r="Q2" s="18">
        <f>(0.37464+(1.54226*K2)-(0.26992*(K2^2)))</f>
        <v>0.70798380000000005</v>
      </c>
      <c r="R2" s="18">
        <f>(1+Q2*(1-H2^0.5))^2</f>
        <v>0.88880643261418801</v>
      </c>
      <c r="S2" s="18">
        <f>P2*R2</f>
        <v>13112.432604477901</v>
      </c>
      <c r="T2" s="20">
        <v>13093.0269910719</v>
      </c>
      <c r="U2" s="20">
        <v>25358.791224829001</v>
      </c>
    </row>
    <row r="3" spans="1:21" x14ac:dyDescent="0.25">
      <c r="A3" s="20" t="s">
        <v>1</v>
      </c>
      <c r="B3" s="20">
        <v>0.2</v>
      </c>
      <c r="C3" s="42">
        <v>1.7933243798351199</v>
      </c>
      <c r="D3" s="18">
        <f t="shared" ref="D3:D5" si="0">180+459.67</f>
        <v>639.66999999999996</v>
      </c>
      <c r="E3" s="20">
        <v>2000</v>
      </c>
      <c r="F3" s="20">
        <v>-116.59</v>
      </c>
      <c r="G3" s="18">
        <f t="shared" ref="G3:G5" si="1">F3+459.67</f>
        <v>343.08</v>
      </c>
      <c r="H3" s="18">
        <f t="shared" ref="H3:H5" si="2">(D3)/G3</f>
        <v>1.8644922467063101</v>
      </c>
      <c r="I3" s="20">
        <v>667.2</v>
      </c>
      <c r="J3" s="18">
        <f t="shared" ref="J3:J5" si="3">E3/I3</f>
        <v>2.9976019184652301</v>
      </c>
      <c r="K3" s="20">
        <v>8.0000000000000002E-3</v>
      </c>
      <c r="L3" s="43">
        <f>B3/(C3 +(1-C3)*C20)</f>
        <v>0.13166410380803401</v>
      </c>
      <c r="M3" s="44">
        <f t="shared" ref="M3:M5" si="4">C3*L3</f>
        <v>0.23611644730808901</v>
      </c>
      <c r="N3" s="18">
        <f>(0.0778*C17*G3)/I3</f>
        <v>0.429258281654676</v>
      </c>
      <c r="O3" s="18">
        <f>(N3*E3)/(C17*D3)</f>
        <v>0.125081469053344</v>
      </c>
      <c r="P3" s="18">
        <f>0.45724*(C17^2)*(G3^2)/I3</f>
        <v>9287.0637172534007</v>
      </c>
      <c r="Q3" s="18">
        <f t="shared" ref="Q3:Q5" si="5">(0.37464+(1.54226*K3)-(0.26992*(K3^2)))</f>
        <v>0.38696080511999997</v>
      </c>
      <c r="R3" s="18">
        <f t="shared" ref="R3:R5" si="6">(1+Q3*(1-H3^0.5))^2</f>
        <v>0.73715912218790103</v>
      </c>
      <c r="S3" s="18">
        <f t="shared" ref="S3:S5" si="7">P3*R3</f>
        <v>6846.0437375136198</v>
      </c>
      <c r="T3" s="20">
        <v>8981.7655398808893</v>
      </c>
      <c r="U3" s="20">
        <v>18924.1558832144</v>
      </c>
    </row>
    <row r="4" spans="1:21" x14ac:dyDescent="0.25">
      <c r="A4" s="20" t="s">
        <v>2</v>
      </c>
      <c r="B4" s="20">
        <v>0.05</v>
      </c>
      <c r="C4" s="42">
        <v>0.449329681060608</v>
      </c>
      <c r="D4" s="18">
        <f t="shared" si="0"/>
        <v>639.66999999999996</v>
      </c>
      <c r="E4" s="20">
        <v>2000</v>
      </c>
      <c r="F4" s="20">
        <v>305.69</v>
      </c>
      <c r="G4" s="18">
        <f t="shared" si="1"/>
        <v>765.36</v>
      </c>
      <c r="H4" s="18">
        <f t="shared" si="2"/>
        <v>0.83577662799205599</v>
      </c>
      <c r="I4" s="20">
        <v>551.1</v>
      </c>
      <c r="J4" s="18">
        <f t="shared" si="3"/>
        <v>3.6291054255126101</v>
      </c>
      <c r="K4" s="20">
        <v>0.193</v>
      </c>
      <c r="L4" s="43">
        <f>B4/(C4 +(1-C4)*C20)</f>
        <v>7.8157392700636499E-2</v>
      </c>
      <c r="M4" s="44">
        <f t="shared" si="4"/>
        <v>3.5118436334705697E-2</v>
      </c>
      <c r="N4" s="18">
        <f>(0.0778*C17*G4)/I4</f>
        <v>1.15935027370713</v>
      </c>
      <c r="O4" s="18">
        <f>(N4*E4)/(C17*D4)</f>
        <v>0.337822801749326</v>
      </c>
      <c r="P4" s="18">
        <f>0.45724*(C17^2)*(G4^2)/I4</f>
        <v>55955.756408112902</v>
      </c>
      <c r="Q4" s="18">
        <f t="shared" si="5"/>
        <v>0.66224192991999997</v>
      </c>
      <c r="R4" s="18">
        <f t="shared" si="6"/>
        <v>1.1168577941531499</v>
      </c>
      <c r="S4" s="18">
        <f t="shared" si="7"/>
        <v>62494.622672136</v>
      </c>
      <c r="T4" s="20">
        <v>27211.6767704503</v>
      </c>
      <c r="U4" s="20">
        <v>58477.999947916098</v>
      </c>
    </row>
    <row r="5" spans="1:21" x14ac:dyDescent="0.25">
      <c r="A5" s="20" t="s">
        <v>66</v>
      </c>
      <c r="B5" s="20">
        <v>0.1</v>
      </c>
      <c r="C5" s="42">
        <v>5.7314254341475197E-2</v>
      </c>
      <c r="D5" s="18">
        <f t="shared" si="0"/>
        <v>639.66999999999996</v>
      </c>
      <c r="E5" s="20">
        <v>2000</v>
      </c>
      <c r="F5" s="20">
        <v>652.01</v>
      </c>
      <c r="G5" s="18">
        <f t="shared" si="1"/>
        <v>1111.68</v>
      </c>
      <c r="H5" s="18">
        <f t="shared" si="2"/>
        <v>0.57540839090385698</v>
      </c>
      <c r="I5" s="20">
        <v>305.68</v>
      </c>
      <c r="J5" s="18">
        <f t="shared" si="3"/>
        <v>6.5427898455901596</v>
      </c>
      <c r="K5" s="20">
        <v>0.49</v>
      </c>
      <c r="L5" s="43">
        <f>B5/(C5 +(1-C5)*C20)</f>
        <v>0.26091515860289</v>
      </c>
      <c r="M5" s="44">
        <f t="shared" si="4"/>
        <v>1.4954157761712401E-2</v>
      </c>
      <c r="N5" s="18">
        <f>(0.0778*C17*G5)/I5</f>
        <v>3.0359323276629202</v>
      </c>
      <c r="O5" s="18">
        <f>(N5*E5)/(C17*D5)</f>
        <v>0.88463960212211601</v>
      </c>
      <c r="P5" s="18">
        <f>0.45724*(C17^2)*(G5^2)/I5</f>
        <v>212831.65403404</v>
      </c>
      <c r="Q5" s="18">
        <f t="shared" si="5"/>
        <v>1.0655396079999999</v>
      </c>
      <c r="R5" s="18">
        <f t="shared" si="6"/>
        <v>1.5807210945616099</v>
      </c>
      <c r="S5" s="18">
        <f t="shared" si="7"/>
        <v>336427.48512204603</v>
      </c>
      <c r="T5" s="20">
        <v>62937.433280253397</v>
      </c>
      <c r="U5" s="20">
        <v>136217.368442843</v>
      </c>
    </row>
    <row r="8" spans="1:21" x14ac:dyDescent="0.25">
      <c r="A8" s="22" t="s">
        <v>10</v>
      </c>
      <c r="B8" s="22" t="s">
        <v>11</v>
      </c>
      <c r="C8" s="22"/>
      <c r="D8" s="22"/>
      <c r="E8" s="22"/>
    </row>
    <row r="9" spans="1:21" x14ac:dyDescent="0.25">
      <c r="A9" s="22" t="s">
        <v>12</v>
      </c>
      <c r="B9" s="22" t="s">
        <v>13</v>
      </c>
      <c r="C9" s="22" t="s">
        <v>14</v>
      </c>
      <c r="D9" s="22" t="s">
        <v>15</v>
      </c>
      <c r="E9" s="22" t="s">
        <v>16</v>
      </c>
      <c r="H9" s="22" t="s">
        <v>19</v>
      </c>
      <c r="I9" s="22" t="s">
        <v>20</v>
      </c>
      <c r="J9" s="22" t="s">
        <v>21</v>
      </c>
      <c r="K9" s="22" t="s">
        <v>22</v>
      </c>
      <c r="L9" s="22" t="s">
        <v>23</v>
      </c>
      <c r="R9" s="24" t="s">
        <v>61</v>
      </c>
      <c r="S9" s="24" t="s">
        <v>69</v>
      </c>
    </row>
    <row r="10" spans="1:21" x14ac:dyDescent="0.25">
      <c r="A10" s="22" t="s">
        <v>13</v>
      </c>
      <c r="B10" s="22">
        <v>0</v>
      </c>
      <c r="C10" s="22">
        <v>0.12</v>
      </c>
      <c r="D10" s="22">
        <v>0.12</v>
      </c>
      <c r="E10" s="22">
        <v>0.11409999999999999</v>
      </c>
      <c r="H10" s="22" t="s">
        <v>24</v>
      </c>
      <c r="I10" s="23">
        <f>(1-B10)*SQRT(S2*S2)</f>
        <v>13112.432604477901</v>
      </c>
      <c r="J10" s="23">
        <f>(1-C10)*SQRT(S2*S3)</f>
        <v>8337.6592363929394</v>
      </c>
      <c r="K10" s="23">
        <f>(1-D10)*SQRT(S2*S4)</f>
        <v>25191.012985378398</v>
      </c>
      <c r="L10" s="23">
        <f>(1-E10)*SQRT(S2*S5)</f>
        <v>58839.919618020998</v>
      </c>
      <c r="R10" s="25">
        <v>1.37937770814003</v>
      </c>
      <c r="S10" s="25">
        <v>1.3486876882065999</v>
      </c>
    </row>
    <row r="11" spans="1:21" x14ac:dyDescent="0.25">
      <c r="A11" s="22" t="s">
        <v>14</v>
      </c>
      <c r="B11" s="22">
        <v>0.12</v>
      </c>
      <c r="C11" s="22">
        <v>0</v>
      </c>
      <c r="D11" s="22">
        <v>0</v>
      </c>
      <c r="E11" s="22">
        <v>4.2200000000000001E-2</v>
      </c>
      <c r="H11" s="22" t="s">
        <v>25</v>
      </c>
      <c r="I11" s="23">
        <f>(1-C10)*SQRT(S3*S2)</f>
        <v>8337.6592363929394</v>
      </c>
      <c r="J11" s="23">
        <f>(1-C11)*SQRT(S3*S3)</f>
        <v>6846.0437375136198</v>
      </c>
      <c r="K11" s="23">
        <f>(1-D11)*SQRT(S3*S4)</f>
        <v>20684.3158014195</v>
      </c>
      <c r="L11" s="23">
        <f>(1-E11)*SQRT(S3*S5)</f>
        <v>45966.390474494903</v>
      </c>
      <c r="N11" s="30"/>
      <c r="R11" s="25">
        <v>4.1040142019429897</v>
      </c>
      <c r="S11" s="25">
        <v>1.79332437750065</v>
      </c>
    </row>
    <row r="12" spans="1:21" x14ac:dyDescent="0.25">
      <c r="A12" s="22" t="s">
        <v>15</v>
      </c>
      <c r="B12" s="22">
        <v>0.12</v>
      </c>
      <c r="C12" s="22">
        <v>0</v>
      </c>
      <c r="D12" s="22">
        <v>0</v>
      </c>
      <c r="E12" s="22">
        <v>7.7999999999999996E-3</v>
      </c>
      <c r="H12" s="22" t="s">
        <v>26</v>
      </c>
      <c r="I12" s="23">
        <f>(1-B12)*SQRT(S4*S2)</f>
        <v>25191.012985378398</v>
      </c>
      <c r="J12" s="23">
        <f>(1-C12)*SQRT(S4*S3)</f>
        <v>20684.3158014195</v>
      </c>
      <c r="K12" s="23">
        <f>(1-D12)*SQRT(S4*S4)</f>
        <v>62494.622672136</v>
      </c>
      <c r="L12" s="23">
        <f>(1-E12)*SQRT(S4*S5)</f>
        <v>143868.68776197801</v>
      </c>
      <c r="N12" s="30"/>
      <c r="R12" s="25">
        <v>7.8254095255207004E-2</v>
      </c>
      <c r="S12" s="25">
        <v>0.449329679273476</v>
      </c>
    </row>
    <row r="13" spans="1:21" x14ac:dyDescent="0.25">
      <c r="A13" s="22" t="s">
        <v>16</v>
      </c>
      <c r="B13" s="22">
        <v>0.11409999999999999</v>
      </c>
      <c r="C13" s="22">
        <v>4.2200000000000001E-2</v>
      </c>
      <c r="D13" s="22">
        <v>7.7999999999999996E-3</v>
      </c>
      <c r="E13" s="22">
        <v>0</v>
      </c>
      <c r="H13" s="22" t="s">
        <v>27</v>
      </c>
      <c r="I13" s="23">
        <f>(1-B13)*SQRT(S5*S2)</f>
        <v>58839.919618020998</v>
      </c>
      <c r="J13" s="23">
        <f>(1-C13)*SQRT(S5*S3)</f>
        <v>45966.390474494903</v>
      </c>
      <c r="K13" s="23">
        <f>(1-D13)*SQRT(S5*S4)</f>
        <v>143868.68776197801</v>
      </c>
      <c r="L13" s="23">
        <f>(1-E13)*SQRT(S5*S5)</f>
        <v>336427.48512204603</v>
      </c>
      <c r="N13" s="30"/>
      <c r="R13" s="26">
        <v>4.1697189239721703E-4</v>
      </c>
      <c r="S13" s="26">
        <v>5.7314254341475197E-2</v>
      </c>
    </row>
    <row r="14" spans="1:21" ht="18" x14ac:dyDescent="0.25">
      <c r="E14" s="40"/>
      <c r="H14" s="22" t="s">
        <v>28</v>
      </c>
      <c r="I14" s="22" t="s">
        <v>29</v>
      </c>
      <c r="J14" s="22" t="s">
        <v>30</v>
      </c>
      <c r="K14" s="22" t="s">
        <v>31</v>
      </c>
      <c r="L14" s="22" t="s">
        <v>32</v>
      </c>
      <c r="N14" s="30"/>
    </row>
    <row r="17" spans="1:18" x14ac:dyDescent="0.25">
      <c r="B17" s="20" t="s">
        <v>33</v>
      </c>
      <c r="C17" s="20">
        <v>10.73</v>
      </c>
      <c r="P17" s="27"/>
      <c r="Q17" s="27"/>
      <c r="R17" s="27"/>
    </row>
    <row r="18" spans="1:18" ht="18" x14ac:dyDescent="0.25">
      <c r="H18" s="48" t="s">
        <v>44</v>
      </c>
      <c r="I18" s="47">
        <f xml:space="preserve"> M2*N2 + M3*N3  + M4*N4  + M5*N5</f>
        <v>0.49244360999999998</v>
      </c>
      <c r="J18" s="49" t="s">
        <v>45</v>
      </c>
      <c r="K18" s="47">
        <f>I18*E2/(C17*D2)</f>
        <v>0.14349302999999999</v>
      </c>
      <c r="L18" s="50" t="s">
        <v>46</v>
      </c>
      <c r="M18" s="51">
        <v>13363.49656186</v>
      </c>
      <c r="N18" s="49" t="s">
        <v>47</v>
      </c>
      <c r="O18" s="47">
        <f>M18*E2/((C17*D2)^2)</f>
        <v>0.56733383999999998</v>
      </c>
      <c r="P18" s="28"/>
      <c r="Q18" s="27"/>
      <c r="R18" s="27"/>
    </row>
    <row r="19" spans="1:18" ht="18" x14ac:dyDescent="0.25">
      <c r="A19" s="20" t="s">
        <v>7</v>
      </c>
      <c r="B19" s="20" t="s">
        <v>8</v>
      </c>
      <c r="C19" s="45" t="s">
        <v>9</v>
      </c>
      <c r="D19" s="75" t="s">
        <v>74</v>
      </c>
      <c r="H19" s="48" t="s">
        <v>48</v>
      </c>
      <c r="I19" s="47">
        <f xml:space="preserve"> L2*N2 + L3*N3 + L4*N4  + L5*N5</f>
        <v>1.16537716</v>
      </c>
      <c r="J19" s="49" t="s">
        <v>49</v>
      </c>
      <c r="K19" s="47">
        <f>I19*E3/(C17*D3)</f>
        <v>0.33957896999999998</v>
      </c>
      <c r="L19" s="50" t="s">
        <v>50</v>
      </c>
      <c r="M19" s="51">
        <v>56024.774988680001</v>
      </c>
      <c r="N19" s="49" t="s">
        <v>51</v>
      </c>
      <c r="O19" s="47">
        <f>M19*E3/((C17*D3)^2)</f>
        <v>2.3784756300000001</v>
      </c>
      <c r="P19" s="28"/>
      <c r="Q19" s="27"/>
      <c r="R19" s="27"/>
    </row>
    <row r="20" spans="1:18" ht="15" customHeight="1" x14ac:dyDescent="0.25">
      <c r="A20" s="20">
        <v>0</v>
      </c>
      <c r="B20" s="20">
        <v>-0.74896328377021903</v>
      </c>
      <c r="C20" s="37">
        <v>0.34576962179952903</v>
      </c>
      <c r="D20" s="74">
        <f>1-C20</f>
        <v>0.65423037820047103</v>
      </c>
      <c r="H20" s="52"/>
      <c r="I20" s="52"/>
      <c r="J20" s="52"/>
      <c r="K20" s="52"/>
      <c r="L20" s="52"/>
      <c r="M20" s="52"/>
      <c r="N20" s="52"/>
      <c r="O20" s="52"/>
      <c r="P20" s="27"/>
      <c r="Q20" s="27"/>
      <c r="R20" s="27"/>
    </row>
    <row r="21" spans="1:18" ht="15.75" thickBot="1" x14ac:dyDescent="0.3">
      <c r="A21" s="79" t="s">
        <v>73</v>
      </c>
      <c r="B21" s="79"/>
      <c r="C21" s="79"/>
      <c r="H21" s="53"/>
      <c r="I21" s="53"/>
      <c r="J21" s="53"/>
      <c r="K21" s="53"/>
      <c r="L21" s="53"/>
      <c r="M21" s="52"/>
      <c r="N21" s="52"/>
      <c r="O21" s="52"/>
      <c r="Q21" s="27"/>
      <c r="R21" s="27"/>
    </row>
    <row r="22" spans="1:18" ht="17.25" customHeight="1" thickBot="1" x14ac:dyDescent="0.3">
      <c r="A22" s="80"/>
      <c r="B22" s="80"/>
      <c r="C22" s="80"/>
      <c r="G22" s="34"/>
      <c r="H22" s="76" t="s">
        <v>54</v>
      </c>
      <c r="I22" s="76"/>
      <c r="J22" s="77"/>
      <c r="K22" s="54" t="s">
        <v>58</v>
      </c>
      <c r="L22" s="55" t="s">
        <v>70</v>
      </c>
      <c r="M22" s="56" t="s">
        <v>62</v>
      </c>
      <c r="N22" s="57" t="s">
        <v>63</v>
      </c>
      <c r="O22" s="57" t="s">
        <v>64</v>
      </c>
      <c r="P22" s="29"/>
    </row>
    <row r="23" spans="1:18" ht="17.25" customHeight="1" x14ac:dyDescent="0.25">
      <c r="A23" s="80"/>
      <c r="B23" s="80"/>
      <c r="C23" s="80"/>
      <c r="G23" s="34"/>
      <c r="H23" s="58" t="s">
        <v>55</v>
      </c>
      <c r="I23" s="58" t="s">
        <v>56</v>
      </c>
      <c r="J23" s="59" t="s">
        <v>57</v>
      </c>
      <c r="K23" s="60"/>
      <c r="L23" s="58"/>
      <c r="M23" s="61" t="s">
        <v>65</v>
      </c>
      <c r="N23" s="62">
        <f>E2*L2*EXP( (O2/K19)*(K25 -1) -LN(K25-K19) +  (O19/(2*SQRT(2)*K19))*( O2/K19 -(2*U2/M19))*LN((K25 +K19*(1+SQRT(2)))/(K25 +K19*(1-SQRT(2)))))</f>
        <v>935.89466104999997</v>
      </c>
      <c r="O23" s="63">
        <f>E2*M2*EXP( (O2/K18)*(K30 -1) -LN(K30-K18) +  (O18/(2*SQRT(2)*K18))*( O2/K18 -(2/M18)*T2)*LN((K30 +K18*(1+SQRT(2)))/(K30 +K18*(1-SQRT(2)))))</f>
        <v>935.89466304999996</v>
      </c>
    </row>
    <row r="24" spans="1:18" ht="15" customHeight="1" x14ac:dyDescent="0.25">
      <c r="A24" s="80"/>
      <c r="B24" s="80"/>
      <c r="C24" s="80"/>
      <c r="G24" s="34"/>
      <c r="H24" s="58">
        <f>-(1-K19)</f>
        <v>-0.66042102999999996</v>
      </c>
      <c r="I24" s="58">
        <f xml:space="preserve"> (O19-(3*(K19^2))-(2*K19))</f>
        <v>1.35337606</v>
      </c>
      <c r="J24" s="60">
        <f>-(O19*K19 -K19^2 -K19^3)</f>
        <v>-0.65320825999999999</v>
      </c>
      <c r="K24" s="64"/>
      <c r="L24" s="65"/>
      <c r="M24" s="61" t="s">
        <v>1</v>
      </c>
      <c r="N24" s="66">
        <f>E2*L3*EXP( (O3/K19)*(K25 -1) -LN(K25-K19) +  (O19/(2*SQRT(2)*K19))*( O3/K19 -(2*U3/M19))*LN((K25 +K19*(1+SQRT(2)))/(K25 +K19*(1-SQRT(2)))))</f>
        <v>483.96166332000001</v>
      </c>
      <c r="O24" s="63">
        <f>E2*M3*EXP( (O3/K18)*(K30 -1) -LN(K30-K18) +  (O18/(2*SQRT(2)*K18))*( O3/K18 -(2/M18)*T3)*LN((K30 +K18*(1+SQRT(2)))/(K30 +K18*(1-SQRT(2)))))</f>
        <v>483.96166395</v>
      </c>
    </row>
    <row r="25" spans="1:18" ht="15.75" thickBot="1" x14ac:dyDescent="0.3">
      <c r="A25" s="27"/>
      <c r="B25" s="27"/>
      <c r="C25" s="27"/>
      <c r="G25" s="34"/>
      <c r="H25" s="46">
        <v>0.51144458999999998</v>
      </c>
      <c r="I25" s="53"/>
      <c r="J25" s="67"/>
      <c r="K25" s="68">
        <f>MIN(H25:J25)</f>
        <v>0.51144458999999998</v>
      </c>
      <c r="L25" s="68">
        <f>K25*C17*D2/E2</f>
        <v>1.75519066</v>
      </c>
      <c r="M25" s="61" t="s">
        <v>2</v>
      </c>
      <c r="N25" s="66">
        <f>E2*L4*EXP( (O4/K19)*(K25 -1) -LN(K25-K19) +  (O19/(2*SQRT(2)*K19))*( O4/K19 -(2*U4/M19))*LN((K25 +K19*(1+SQRT(2)))/(K25 +K19*(1-SQRT(2)))))</f>
        <v>17.599747740000002</v>
      </c>
      <c r="O25" s="63">
        <f>E2*M4*EXP( (O4/K18)*(K30 -1) -LN(K30-K18) +  (O18/(2*SQRT(2)*K18))*( O4/K18 -(2/M18)*T4)*LN((K30 +K18*(1+SQRT(2)))/(K30 +K18*(1-SQRT(2)))))</f>
        <v>17.59974781</v>
      </c>
    </row>
    <row r="26" spans="1:18" ht="15.75" thickBot="1" x14ac:dyDescent="0.3">
      <c r="A26" s="27"/>
      <c r="B26" s="27"/>
      <c r="C26" s="27"/>
      <c r="H26" s="52"/>
      <c r="I26" s="52"/>
      <c r="J26" s="52"/>
      <c r="K26" s="52"/>
      <c r="L26" s="52"/>
      <c r="M26" s="69" t="s">
        <v>66</v>
      </c>
      <c r="N26" s="70">
        <f>E2*L5*EXP( (O5/K19)*(K25 -1) -LN(K25-K19) +  (O19/(2*SQRT(2)*K19))*( O5/K19 -(2*U5/M19))*LN((K25 +K19*(1+SQRT(2)))/(K25 +K19*(1-SQRT(2)))))</f>
        <v>0.66982061999999998</v>
      </c>
      <c r="O26" s="68">
        <f>E2*M5*EXP( (O5/K18)*(K30 -1) -LN(K30-K18) +  (O18/(2*SQRT(2)*K18))*( O5/K18 -(2/M18)*T5)*LN((K30 +K18*(1+SQRT(2)))/(K30 +K18*(1-SQRT(2)))))</f>
        <v>0.66982061999999998</v>
      </c>
    </row>
    <row r="27" spans="1:18" ht="19.5" thickBot="1" x14ac:dyDescent="0.3">
      <c r="A27" s="27"/>
      <c r="B27" s="27"/>
      <c r="C27" s="27"/>
      <c r="H27" s="78" t="s">
        <v>59</v>
      </c>
      <c r="I27" s="76"/>
      <c r="J27" s="77"/>
      <c r="K27" s="71" t="s">
        <v>60</v>
      </c>
      <c r="L27" s="57" t="s">
        <v>71</v>
      </c>
      <c r="M27" s="52"/>
      <c r="N27" s="52"/>
      <c r="O27" s="52"/>
    </row>
    <row r="28" spans="1:18" ht="17.25" x14ac:dyDescent="0.25">
      <c r="A28" s="27"/>
      <c r="B28" s="27"/>
      <c r="C28" s="27"/>
      <c r="H28" s="72" t="s">
        <v>55</v>
      </c>
      <c r="I28" s="58" t="s">
        <v>56</v>
      </c>
      <c r="J28" s="58" t="s">
        <v>57</v>
      </c>
      <c r="K28" s="73"/>
      <c r="L28" s="60"/>
      <c r="M28" s="52"/>
      <c r="N28" s="52"/>
      <c r="O28" s="52"/>
    </row>
    <row r="29" spans="1:18" x14ac:dyDescent="0.25">
      <c r="A29" s="27"/>
      <c r="B29" s="27"/>
      <c r="C29" s="27"/>
      <c r="H29" s="72">
        <f>-(1-K18)</f>
        <v>-0.85650696999999998</v>
      </c>
      <c r="I29" s="58">
        <f xml:space="preserve"> (O18-(3*(K18^2))-(2*K18))</f>
        <v>0.21857703000000001</v>
      </c>
      <c r="J29" s="58">
        <f>-(O18*K18 -K18^2 -K18^3)</f>
        <v>-5.7863640000000001E-2</v>
      </c>
      <c r="K29" s="61"/>
      <c r="L29" s="60"/>
      <c r="M29" s="52"/>
      <c r="N29" s="52"/>
      <c r="O29" s="52"/>
    </row>
    <row r="30" spans="1:18" ht="15.75" thickBot="1" x14ac:dyDescent="0.3">
      <c r="A30" s="27"/>
      <c r="B30" s="27"/>
      <c r="C30" s="27"/>
      <c r="H30" s="46">
        <v>0.65796496000000004</v>
      </c>
      <c r="I30" s="53"/>
      <c r="J30" s="53"/>
      <c r="K30" s="70">
        <f>MAX(H30:J30)</f>
        <v>0.65796496000000004</v>
      </c>
      <c r="L30" s="68">
        <f>K30*C17*D2/E2</f>
        <v>2.2580235900000001</v>
      </c>
      <c r="M30" s="52"/>
      <c r="N30" s="52"/>
      <c r="O30" s="52"/>
    </row>
    <row r="31" spans="1:18" x14ac:dyDescent="0.25">
      <c r="A31" s="27"/>
      <c r="B31" s="27"/>
      <c r="C31" s="27"/>
      <c r="K31" s="39"/>
      <c r="L31" s="39"/>
    </row>
    <row r="33" spans="1:10" x14ac:dyDescent="0.25">
      <c r="C33" s="81" t="s">
        <v>75</v>
      </c>
      <c r="D33" s="81"/>
      <c r="E33" s="81"/>
      <c r="F33" s="81"/>
      <c r="G33" s="81"/>
      <c r="H33" s="81"/>
    </row>
    <row r="34" spans="1:10" x14ac:dyDescent="0.25">
      <c r="A34" s="27"/>
      <c r="B34" s="27"/>
      <c r="D34" s="35"/>
      <c r="E34" s="35"/>
    </row>
    <row r="35" spans="1:10" x14ac:dyDescent="0.25">
      <c r="A35" s="32"/>
      <c r="B35" s="33"/>
      <c r="D35" s="36"/>
      <c r="E35" s="35"/>
    </row>
    <row r="36" spans="1:10" ht="17.25" x14ac:dyDescent="0.3">
      <c r="A36" s="32"/>
      <c r="B36" s="33"/>
      <c r="D36" s="35"/>
      <c r="E36" s="35"/>
      <c r="J36" s="31"/>
    </row>
  </sheetData>
  <mergeCells count="4">
    <mergeCell ref="H22:J22"/>
    <mergeCell ref="H27:J27"/>
    <mergeCell ref="A21:C24"/>
    <mergeCell ref="C33:H33"/>
  </mergeCells>
  <pageMargins left="0.7" right="0.7" top="0.75" bottom="0.75" header="0.3" footer="0.3"/>
  <pageSetup scale="2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ew_raph">
                <anchor moveWithCells="1" sizeWithCells="1">
                  <from>
                    <xdr:col>0</xdr:col>
                    <xdr:colOff>457200</xdr:colOff>
                    <xdr:row>24</xdr:row>
                    <xdr:rowOff>133350</xdr:rowOff>
                  </from>
                  <to>
                    <xdr:col>2</xdr:col>
                    <xdr:colOff>38100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24"/>
  <sheetViews>
    <sheetView zoomScale="70" zoomScaleNormal="70" workbookViewId="0">
      <selection activeCell="G27" sqref="G27"/>
    </sheetView>
  </sheetViews>
  <sheetFormatPr defaultRowHeight="15" x14ac:dyDescent="0.25"/>
  <cols>
    <col min="1" max="1" width="15.140625" bestFit="1" customWidth="1"/>
  </cols>
  <sheetData>
    <row r="1" spans="1:20" s="17" customFormat="1" ht="23.25" customHeight="1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</row>
    <row r="2" spans="1:20" ht="15" customHeight="1" x14ac:dyDescent="0.25">
      <c r="J2" s="2"/>
      <c r="K2" s="2"/>
      <c r="L2" s="2"/>
      <c r="M2" s="2"/>
      <c r="N2" s="2"/>
    </row>
    <row r="3" spans="1:20" x14ac:dyDescent="0.25">
      <c r="A3" s="2"/>
      <c r="B3" s="2"/>
      <c r="C3" s="2"/>
      <c r="D3" s="2"/>
      <c r="J3" s="2"/>
      <c r="K3" s="2"/>
      <c r="L3" s="2"/>
      <c r="M3" s="2"/>
      <c r="N3" s="2"/>
      <c r="P3" s="4"/>
      <c r="Q3" s="4"/>
      <c r="R3" s="4"/>
      <c r="S3" s="4"/>
      <c r="T3" s="4"/>
    </row>
    <row r="4" spans="1:20" x14ac:dyDescent="0.25">
      <c r="A4" s="14"/>
      <c r="B4" s="2"/>
      <c r="C4" s="2"/>
      <c r="D4" s="2"/>
      <c r="J4" s="2"/>
      <c r="K4" s="2"/>
      <c r="L4" s="2"/>
      <c r="M4" s="2"/>
      <c r="N4" s="2"/>
      <c r="P4" s="4"/>
      <c r="Q4" s="2"/>
      <c r="R4" s="2"/>
      <c r="S4" s="2"/>
      <c r="T4" s="2"/>
    </row>
    <row r="5" spans="1:20" x14ac:dyDescent="0.25">
      <c r="A5" s="2"/>
      <c r="B5" s="2"/>
      <c r="C5" s="2"/>
      <c r="D5" s="2"/>
      <c r="J5" s="2"/>
      <c r="K5" s="2"/>
      <c r="L5" s="2"/>
      <c r="M5" s="2"/>
      <c r="N5" s="2"/>
      <c r="P5" s="4"/>
      <c r="Q5" s="2"/>
      <c r="R5" s="2"/>
      <c r="S5" s="2"/>
      <c r="T5" s="2"/>
    </row>
    <row r="6" spans="1:20" x14ac:dyDescent="0.25">
      <c r="J6" s="2"/>
      <c r="K6" s="2"/>
      <c r="L6" s="2"/>
      <c r="M6" s="2"/>
      <c r="N6" s="2"/>
      <c r="P6" s="4"/>
      <c r="Q6" s="2"/>
      <c r="R6" s="2"/>
      <c r="S6" s="2"/>
      <c r="T6" s="2"/>
    </row>
    <row r="7" spans="1:20" x14ac:dyDescent="0.25">
      <c r="J7" s="2"/>
      <c r="K7" s="2"/>
      <c r="L7" s="2"/>
      <c r="M7" s="2"/>
      <c r="N7" s="2"/>
      <c r="P7" s="4"/>
      <c r="Q7" s="2"/>
      <c r="R7" s="2"/>
      <c r="S7" s="2"/>
      <c r="T7" s="2"/>
    </row>
    <row r="8" spans="1:20" x14ac:dyDescent="0.25">
      <c r="P8" s="3"/>
      <c r="Q8" s="4"/>
      <c r="R8" s="4"/>
      <c r="S8" s="4"/>
      <c r="T8" s="4"/>
    </row>
    <row r="9" spans="1:20" x14ac:dyDescent="0.25">
      <c r="N9" s="7"/>
      <c r="O9" s="7"/>
    </row>
    <row r="10" spans="1:20" x14ac:dyDescent="0.25">
      <c r="N10" s="7"/>
      <c r="O10" s="7"/>
    </row>
    <row r="11" spans="1:20" x14ac:dyDescent="0.25">
      <c r="I11" s="15"/>
      <c r="N11" s="7"/>
      <c r="O11" s="7"/>
    </row>
    <row r="12" spans="1:20" x14ac:dyDescent="0.25">
      <c r="I12" s="15"/>
      <c r="N12" s="7"/>
      <c r="O12" s="7"/>
    </row>
    <row r="13" spans="1:20" x14ac:dyDescent="0.25">
      <c r="N13" s="8"/>
      <c r="O13" s="8"/>
    </row>
    <row r="14" spans="1:20" x14ac:dyDescent="0.25">
      <c r="A14" s="9"/>
      <c r="B14" s="5"/>
      <c r="C14" s="10"/>
      <c r="D14" s="10"/>
      <c r="E14" s="10"/>
      <c r="F14" s="11"/>
      <c r="G14" s="10"/>
      <c r="H14" s="10"/>
      <c r="I14" s="12"/>
      <c r="J14" s="12"/>
      <c r="K14" s="12"/>
      <c r="L14" s="10"/>
      <c r="M14" s="6"/>
      <c r="N14" s="6"/>
      <c r="O14" s="6"/>
      <c r="P14" s="6"/>
      <c r="Q14" s="13"/>
      <c r="R14" s="4"/>
      <c r="S14" s="4"/>
      <c r="T14" s="16"/>
    </row>
    <row r="15" spans="1:20" x14ac:dyDescent="0.25">
      <c r="A15" s="9"/>
      <c r="B15" s="5"/>
      <c r="C15" s="5"/>
      <c r="D15" s="5"/>
      <c r="E15" s="5"/>
      <c r="F15" s="5"/>
      <c r="G15" s="5"/>
      <c r="H15" s="5"/>
      <c r="I15" s="9"/>
      <c r="J15" s="9"/>
      <c r="K15" s="9"/>
      <c r="L15" s="5"/>
      <c r="M15" s="5"/>
      <c r="N15" s="5"/>
      <c r="O15" s="5"/>
      <c r="P15" s="5"/>
      <c r="Q15" s="2"/>
      <c r="R15" s="2"/>
      <c r="S15" s="2"/>
    </row>
    <row r="16" spans="1:20" x14ac:dyDescent="0.25">
      <c r="A16" s="9"/>
      <c r="B16" s="5"/>
      <c r="C16" s="5"/>
      <c r="D16" s="5"/>
      <c r="E16" s="5"/>
      <c r="F16" s="5"/>
      <c r="G16" s="5"/>
      <c r="H16" s="5"/>
      <c r="I16" s="9"/>
      <c r="J16" s="9"/>
      <c r="K16" s="9"/>
      <c r="L16" s="5"/>
      <c r="M16" s="5"/>
      <c r="N16" s="5"/>
      <c r="O16" s="5"/>
      <c r="P16" s="5"/>
      <c r="Q16" s="2"/>
      <c r="R16" s="2"/>
      <c r="S16" s="2"/>
    </row>
    <row r="17" spans="1:19" x14ac:dyDescent="0.25">
      <c r="A17" s="9"/>
      <c r="B17" s="5"/>
      <c r="C17" s="5"/>
      <c r="D17" s="5"/>
      <c r="E17" s="5"/>
      <c r="F17" s="5"/>
      <c r="G17" s="5"/>
      <c r="H17" s="5"/>
      <c r="I17" s="9"/>
      <c r="J17" s="9"/>
      <c r="K17" s="9"/>
      <c r="L17" s="5"/>
      <c r="M17" s="5"/>
      <c r="N17" s="5"/>
      <c r="O17" s="5"/>
      <c r="P17" s="5"/>
      <c r="Q17" s="2"/>
      <c r="R17" s="2"/>
      <c r="S17" s="2"/>
    </row>
    <row r="18" spans="1:19" x14ac:dyDescent="0.25">
      <c r="A18" s="9"/>
      <c r="B18" s="5"/>
      <c r="C18" s="5"/>
      <c r="D18" s="5"/>
      <c r="E18" s="5"/>
      <c r="F18" s="5"/>
      <c r="G18" s="5"/>
      <c r="H18" s="5"/>
      <c r="I18" s="9"/>
      <c r="J18" s="9"/>
      <c r="K18" s="9"/>
      <c r="L18" s="5"/>
      <c r="M18" s="5"/>
      <c r="N18" s="5"/>
      <c r="O18" s="5"/>
      <c r="P18" s="5"/>
      <c r="Q18" s="5"/>
      <c r="R18" s="2"/>
      <c r="S18" s="2"/>
    </row>
    <row r="23" spans="1:19" x14ac:dyDescent="0.25">
      <c r="A23" s="1"/>
      <c r="B23" s="1"/>
      <c r="E23" s="1"/>
      <c r="F23" s="1"/>
    </row>
    <row r="24" spans="1:19" x14ac:dyDescent="0.25">
      <c r="A24" s="1"/>
      <c r="B24" s="1"/>
      <c r="E24" s="1"/>
      <c r="F24" s="1"/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Toshiba</cp:lastModifiedBy>
  <dcterms:created xsi:type="dcterms:W3CDTF">2006-09-16T00:00:00Z</dcterms:created>
  <dcterms:modified xsi:type="dcterms:W3CDTF">2016-01-07T18:22:08Z</dcterms:modified>
</cp:coreProperties>
</file>